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4355" windowHeight="4950"/>
  </bookViews>
  <sheets>
    <sheet name=" PRODUCT-DB" sheetId="1" r:id="rId1"/>
    <sheet name="Excel Formulas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S5" i="2"/>
  <c r="S6" i="2"/>
  <c r="S7" i="2"/>
  <c r="S8" i="2"/>
  <c r="S9" i="2"/>
  <c r="S10" i="2"/>
  <c r="S11" i="2"/>
  <c r="S12" i="2"/>
  <c r="P6" i="2"/>
  <c r="P7" i="2"/>
  <c r="P8" i="2"/>
  <c r="P9" i="2"/>
  <c r="P10" i="2"/>
  <c r="P11" i="2"/>
  <c r="P12" i="2"/>
  <c r="B13" i="2"/>
  <c r="P5" i="2"/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I10" i="2"/>
  <c r="I7" i="2"/>
  <c r="B14" i="2"/>
  <c r="B15" i="2"/>
  <c r="B16" i="2"/>
  <c r="B17" i="2"/>
  <c r="B18" i="2"/>
  <c r="B19" i="2"/>
  <c r="B20" i="2"/>
  <c r="B10" i="2" l="1"/>
  <c r="B7" i="2"/>
</calcChain>
</file>

<file path=xl/sharedStrings.xml><?xml version="1.0" encoding="utf-8"?>
<sst xmlns="http://schemas.openxmlformats.org/spreadsheetml/2006/main" count="125" uniqueCount="89">
  <si>
    <t>Product ID</t>
  </si>
  <si>
    <t>Product Name</t>
  </si>
  <si>
    <t>Brand Name</t>
  </si>
  <si>
    <t>Quantity</t>
  </si>
  <si>
    <t>Category</t>
  </si>
  <si>
    <t>Price</t>
  </si>
  <si>
    <t>P001</t>
  </si>
  <si>
    <t>Wireless Mouse</t>
  </si>
  <si>
    <t>Logitech</t>
  </si>
  <si>
    <t>Electronics</t>
  </si>
  <si>
    <t>P002</t>
  </si>
  <si>
    <t>Mechanical Keyboard</t>
  </si>
  <si>
    <t>Redragon</t>
  </si>
  <si>
    <t>P003</t>
  </si>
  <si>
    <t>LED Monitor 24"</t>
  </si>
  <si>
    <t>Samsung</t>
  </si>
  <si>
    <t>P004</t>
  </si>
  <si>
    <t>USB Flash Drive 64GB</t>
  </si>
  <si>
    <t>SanDisk</t>
  </si>
  <si>
    <t>P005</t>
  </si>
  <si>
    <t>Bluetooth Speaker</t>
  </si>
  <si>
    <t>JBL</t>
  </si>
  <si>
    <t>P006</t>
  </si>
  <si>
    <t>Running Shoes</t>
  </si>
  <si>
    <t>Nike</t>
  </si>
  <si>
    <t>Footwear</t>
  </si>
  <si>
    <t>P007</t>
  </si>
  <si>
    <t>Casual T-Shirt</t>
  </si>
  <si>
    <t>Puma</t>
  </si>
  <si>
    <t>Clothing</t>
  </si>
  <si>
    <t>P008</t>
  </si>
  <si>
    <t>Denim Jeans</t>
  </si>
  <si>
    <t>Levi's</t>
  </si>
  <si>
    <t>P009</t>
  </si>
  <si>
    <t>Backpack</t>
  </si>
  <si>
    <t>Wildcraft</t>
  </si>
  <si>
    <t>P010</t>
  </si>
  <si>
    <t>Water Bottle 1L</t>
  </si>
  <si>
    <t>Milton</t>
  </si>
  <si>
    <t>Home &amp; Kitchen</t>
  </si>
  <si>
    <t>P011</t>
  </si>
  <si>
    <t>Mixer Grinder</t>
  </si>
  <si>
    <t>Prestige</t>
  </si>
  <si>
    <t>Home Appliances</t>
  </si>
  <si>
    <t>P012</t>
  </si>
  <si>
    <t>Electric Kettle</t>
  </si>
  <si>
    <t>Philips</t>
  </si>
  <si>
    <t>P013</t>
  </si>
  <si>
    <t>Notebook A5</t>
  </si>
  <si>
    <t>Classmate</t>
  </si>
  <si>
    <t>Stationery</t>
  </si>
  <si>
    <t>P014</t>
  </si>
  <si>
    <t>Ball Pen Pack</t>
  </si>
  <si>
    <t>Reynolds</t>
  </si>
  <si>
    <t>P015</t>
  </si>
  <si>
    <t>Office Chair</t>
  </si>
  <si>
    <t>Green Soul</t>
  </si>
  <si>
    <t>Furniture</t>
  </si>
  <si>
    <t>P016</t>
  </si>
  <si>
    <t>Study Table</t>
  </si>
  <si>
    <t>IKEA</t>
  </si>
  <si>
    <t>P017</t>
  </si>
  <si>
    <t>Smartphone</t>
  </si>
  <si>
    <t>Xiaomi</t>
  </si>
  <si>
    <t>P018</t>
  </si>
  <si>
    <t>Smart Watch</t>
  </si>
  <si>
    <t>Noise</t>
  </si>
  <si>
    <t>P019</t>
  </si>
  <si>
    <t>Air Fryer</t>
  </si>
  <si>
    <t>P020</t>
  </si>
  <si>
    <t>Coffee Mug</t>
  </si>
  <si>
    <t>Borosil</t>
  </si>
  <si>
    <t>Kitchen</t>
  </si>
  <si>
    <t>Tasks:</t>
  </si>
  <si>
    <t>Basic Data Exploration</t>
  </si>
  <si>
    <t xml:space="preserve"> </t>
  </si>
  <si>
    <t xml:space="preserve">           Average;</t>
  </si>
  <si>
    <t xml:space="preserve">          count</t>
  </si>
  <si>
    <t xml:space="preserve">            sum</t>
  </si>
  <si>
    <t>bag</t>
  </si>
  <si>
    <t xml:space="preserve">  1. Sum, Count, and Average</t>
  </si>
  <si>
    <t>2. Minimum and Maximum Values</t>
  </si>
  <si>
    <t xml:space="preserve"> minimum price</t>
  </si>
  <si>
    <t>maximum price</t>
  </si>
  <si>
    <t xml:space="preserve"> IF(average price)</t>
  </si>
  <si>
    <t>4. Conditional Functions – SUMIF and COUNTIF</t>
  </si>
  <si>
    <t>Day</t>
  </si>
  <si>
    <t xml:space="preserve"> 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</si>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</sst>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2" fillId="0" borderId="0" xfId="0" applyFont="1"/>
    <xf numFmtId="0" fontId="3" fillId="0" borderId="0" xfId="0" applyFont="1"/>
    <xf numFmtId="0" fontId="0" fillId="3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/>
    <xf numFmtId="0" fontId="4" fillId="0" borderId="0" xfId="0" applyFont="1"/>
    <xf numFmtId="0" fontId="0" fillId="0" borderId="5" xfId="0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product_Db" displayName="product_Db" ref="A1:J21" totalsRowShown="0" headerRowDxfId="14" dataDxfId="12" headerRowBorderDxfId="13" tableBorderDxfId="11" totalsRowBorderDxfId="10">
  <autoFilter ref="A1:J21"/>
  <tableColumns count="10">
    <tableColumn id="1" name="Product ID" dataDxfId="9"/>
    <tableColumn id="2" name="Product Name" dataDxfId="8"/>
    <tableColumn id="3" name="Brand Name" dataDxfId="7"/>
    <tableColumn id="4" name="Quantity" dataDxfId="6"/>
    <tableColumn id="5" name="Category" dataDxfId="5"/>
    <tableColumn id="6" name="Price" dataDxfId="4"/>
    <tableColumn id="7" name=" IF(average price)" dataDxfId="3">
      <calculatedColumnFormula>IF(product_Db[Price]&gt;500,"High Price","Standard Price")</calculatedColumnFormula>
    </tableColumn>
    <tableColumn id="8" name="Day" dataDxfId="2">
      <calculatedColumnFormula>LEFT(product_Db[[#This Row],[Product ID]],2)</calculatedColumnFormula>
    </tableColumn>
    <tableColumn id="9" name=" Country Code" dataDxfId="1">
      <calculatedColumnFormula>RIGHT(product_Db[[#This Row],[Product ID]],2)</calculatedColumnFormula>
    </tableColumn>
    <tableColumn id="10" name="Month" dataDxfId="0">
      <calculatedColumnFormula>MID(product_Db[[#This Row],[Product ID]],2,4)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H5" sqref="H5:H8"/>
    </sheetView>
  </sheetViews>
  <sheetFormatPr defaultColWidth="18" defaultRowHeight="24" customHeight="1" x14ac:dyDescent="0.25"/>
  <sheetData>
    <row r="1" spans="1:10" ht="24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6" t="s">
        <v>84</v>
      </c>
      <c r="H1" s="20" t="s">
        <v>86</v>
      </c>
      <c r="I1" s="20" t="s">
        <v>87</v>
      </c>
      <c r="J1" s="20" t="s">
        <v>88</v>
      </c>
    </row>
    <row r="2" spans="1:10" ht="24" customHeight="1" x14ac:dyDescent="0.25">
      <c r="A2" s="3" t="s">
        <v>6</v>
      </c>
      <c r="B2" s="1" t="s">
        <v>7</v>
      </c>
      <c r="C2" s="1" t="s">
        <v>8</v>
      </c>
      <c r="D2" s="2">
        <v>25</v>
      </c>
      <c r="E2" s="1" t="s">
        <v>9</v>
      </c>
      <c r="F2" s="4">
        <v>799</v>
      </c>
      <c r="G2" s="19" t="str">
        <f>IF(product_Db[Price]&gt;500,"High Price","Standard Price")</f>
        <v>High Price</v>
      </c>
      <c r="H2" s="1" t="str">
        <f>LEFT(product_Db[[#This Row],[Product ID]],2)</f>
        <v>P0</v>
      </c>
      <c r="I2" s="1" t="str">
        <f>RIGHT(product_Db[[#This Row],[Product ID]],2)</f>
        <v>01</v>
      </c>
      <c r="J2" s="1" t="str">
        <f>MID(product_Db[[#This Row],[Product ID]],2,4)</f>
        <v>001</v>
      </c>
    </row>
    <row r="3" spans="1:10" ht="24" customHeight="1" x14ac:dyDescent="0.25">
      <c r="A3" s="3" t="s">
        <v>10</v>
      </c>
      <c r="B3" s="1" t="s">
        <v>11</v>
      </c>
      <c r="C3" s="1" t="s">
        <v>12</v>
      </c>
      <c r="D3" s="2">
        <v>18</v>
      </c>
      <c r="E3" s="1" t="s">
        <v>9</v>
      </c>
      <c r="F3" s="4">
        <v>2499</v>
      </c>
      <c r="G3" s="1" t="str">
        <f>IF(product_Db[Price]&gt;500,"High Price","Standard Price")</f>
        <v>High Price</v>
      </c>
      <c r="H3" s="1" t="str">
        <f>LEFT(product_Db[[#This Row],[Product ID]],2)</f>
        <v>P0</v>
      </c>
      <c r="I3" s="1" t="str">
        <f>RIGHT(product_Db[[#This Row],[Product ID]],2)</f>
        <v>02</v>
      </c>
      <c r="J3" s="1" t="str">
        <f>MID(product_Db[[#This Row],[Product ID]],2,4)</f>
        <v>002</v>
      </c>
    </row>
    <row r="4" spans="1:10" ht="24" customHeight="1" x14ac:dyDescent="0.25">
      <c r="A4" s="3" t="s">
        <v>13</v>
      </c>
      <c r="B4" s="1" t="s">
        <v>14</v>
      </c>
      <c r="C4" s="1" t="s">
        <v>15</v>
      </c>
      <c r="D4" s="2">
        <v>10</v>
      </c>
      <c r="E4" s="1" t="s">
        <v>9</v>
      </c>
      <c r="F4" s="4">
        <v>10999</v>
      </c>
      <c r="G4" s="1" t="str">
        <f>IF(product_Db[Price]&gt;500,"High Price","Standard Price")</f>
        <v>High Price</v>
      </c>
      <c r="H4" s="1" t="str">
        <f>LEFT(product_Db[[#This Row],[Product ID]],2)</f>
        <v>P0</v>
      </c>
      <c r="I4" s="1" t="str">
        <f>RIGHT(product_Db[[#This Row],[Product ID]],2)</f>
        <v>03</v>
      </c>
      <c r="J4" s="1" t="str">
        <f>MID(product_Db[[#This Row],[Product ID]],2,4)</f>
        <v>003</v>
      </c>
    </row>
    <row r="5" spans="1:10" ht="24" customHeight="1" x14ac:dyDescent="0.25">
      <c r="A5" s="3" t="s">
        <v>16</v>
      </c>
      <c r="B5" s="1" t="s">
        <v>17</v>
      </c>
      <c r="C5" s="1" t="s">
        <v>18</v>
      </c>
      <c r="D5" s="2">
        <v>40</v>
      </c>
      <c r="E5" s="1" t="s">
        <v>9</v>
      </c>
      <c r="F5" s="4">
        <v>699</v>
      </c>
      <c r="G5" s="1" t="str">
        <f>IF(product_Db[Price]&gt;500,"High Price","Standard Price")</f>
        <v>High Price</v>
      </c>
      <c r="H5" s="1" t="str">
        <f>LEFT(product_Db[[#This Row],[Product ID]],2)</f>
        <v>P0</v>
      </c>
      <c r="I5" s="1" t="str">
        <f>RIGHT(product_Db[[#This Row],[Product ID]],2)</f>
        <v>04</v>
      </c>
      <c r="J5" s="1" t="str">
        <f>MID(product_Db[[#This Row],[Product ID]],2,4)</f>
        <v>004</v>
      </c>
    </row>
    <row r="6" spans="1:10" ht="24" customHeight="1" x14ac:dyDescent="0.25">
      <c r="A6" s="3" t="s">
        <v>19</v>
      </c>
      <c r="B6" s="1" t="s">
        <v>20</v>
      </c>
      <c r="C6" s="1" t="s">
        <v>21</v>
      </c>
      <c r="D6" s="2">
        <v>15</v>
      </c>
      <c r="E6" s="1" t="s">
        <v>9</v>
      </c>
      <c r="F6" s="4">
        <v>3499</v>
      </c>
      <c r="G6" s="1" t="str">
        <f>IF(product_Db[Price]&gt;500,"High Price","Standard Price")</f>
        <v>High Price</v>
      </c>
      <c r="H6" s="1" t="str">
        <f>LEFT(product_Db[[#This Row],[Product ID]],2)</f>
        <v>P0</v>
      </c>
      <c r="I6" s="1" t="str">
        <f>RIGHT(product_Db[[#This Row],[Product ID]],2)</f>
        <v>05</v>
      </c>
      <c r="J6" s="1" t="str">
        <f>MID(product_Db[[#This Row],[Product ID]],2,4)</f>
        <v>005</v>
      </c>
    </row>
    <row r="7" spans="1:10" ht="24" customHeight="1" x14ac:dyDescent="0.25">
      <c r="A7" s="3" t="s">
        <v>22</v>
      </c>
      <c r="B7" s="1" t="s">
        <v>23</v>
      </c>
      <c r="C7" s="1" t="s">
        <v>24</v>
      </c>
      <c r="D7" s="2">
        <v>30</v>
      </c>
      <c r="E7" s="1" t="s">
        <v>25</v>
      </c>
      <c r="F7" s="4">
        <v>4599</v>
      </c>
      <c r="G7" s="1" t="str">
        <f>IF(product_Db[Price]&gt;500,"High Price","Standard Price")</f>
        <v>High Price</v>
      </c>
      <c r="H7" s="1" t="str">
        <f>LEFT(product_Db[[#This Row],[Product ID]],2)</f>
        <v>P0</v>
      </c>
      <c r="I7" s="1" t="str">
        <f>RIGHT(product_Db[[#This Row],[Product ID]],2)</f>
        <v>06</v>
      </c>
      <c r="J7" s="1" t="str">
        <f>MID(product_Db[[#This Row],[Product ID]],2,4)</f>
        <v>006</v>
      </c>
    </row>
    <row r="8" spans="1:10" ht="24" customHeight="1" x14ac:dyDescent="0.25">
      <c r="A8" s="3" t="s">
        <v>26</v>
      </c>
      <c r="B8" s="1" t="s">
        <v>27</v>
      </c>
      <c r="C8" s="1" t="s">
        <v>28</v>
      </c>
      <c r="D8" s="2">
        <v>50</v>
      </c>
      <c r="E8" s="1" t="s">
        <v>29</v>
      </c>
      <c r="F8" s="4">
        <v>999</v>
      </c>
      <c r="G8" s="1" t="str">
        <f>IF(product_Db[Price]&gt;500,"High Price","Standard Price")</f>
        <v>High Price</v>
      </c>
      <c r="H8" s="1" t="str">
        <f>LEFT(product_Db[[#This Row],[Product ID]],2)</f>
        <v>P0</v>
      </c>
      <c r="I8" s="1" t="str">
        <f>RIGHT(product_Db[[#This Row],[Product ID]],2)</f>
        <v>07</v>
      </c>
      <c r="J8" s="1" t="str">
        <f>MID(product_Db[[#This Row],[Product ID]],2,4)</f>
        <v>007</v>
      </c>
    </row>
    <row r="9" spans="1:10" ht="24" customHeight="1" x14ac:dyDescent="0.25">
      <c r="A9" s="3" t="s">
        <v>30</v>
      </c>
      <c r="B9" s="1" t="s">
        <v>31</v>
      </c>
      <c r="C9" s="1" t="s">
        <v>32</v>
      </c>
      <c r="D9" s="2">
        <v>22</v>
      </c>
      <c r="E9" s="1" t="s">
        <v>29</v>
      </c>
      <c r="F9" s="4">
        <v>2199</v>
      </c>
      <c r="G9" s="1" t="str">
        <f>IF(product_Db[Price]&gt;500,"High Price","Standard Price")</f>
        <v>High Price</v>
      </c>
      <c r="H9" s="1" t="str">
        <f>LEFT(product_Db[[#This Row],[Product ID]],2)</f>
        <v>P0</v>
      </c>
      <c r="I9" s="1" t="str">
        <f>RIGHT(product_Db[[#This Row],[Product ID]],2)</f>
        <v>08</v>
      </c>
      <c r="J9" s="1" t="str">
        <f>MID(product_Db[[#This Row],[Product ID]],2,4)</f>
        <v>008</v>
      </c>
    </row>
    <row r="10" spans="1:10" ht="24" customHeight="1" x14ac:dyDescent="0.25">
      <c r="A10" s="3" t="s">
        <v>33</v>
      </c>
      <c r="B10" s="1" t="s">
        <v>34</v>
      </c>
      <c r="C10" s="1" t="s">
        <v>35</v>
      </c>
      <c r="D10" s="2">
        <v>35</v>
      </c>
      <c r="E10" s="1" t="s">
        <v>79</v>
      </c>
      <c r="F10" s="4">
        <v>1799</v>
      </c>
      <c r="G10" s="1" t="str">
        <f>IF(product_Db[Price]&gt;500,"High Price","Standard Price")</f>
        <v>High Price</v>
      </c>
      <c r="H10" s="1" t="str">
        <f>LEFT(product_Db[[#This Row],[Product ID]],2)</f>
        <v>P0</v>
      </c>
      <c r="I10" s="1" t="str">
        <f>RIGHT(product_Db[[#This Row],[Product ID]],2)</f>
        <v>09</v>
      </c>
      <c r="J10" s="1" t="str">
        <f>MID(product_Db[[#This Row],[Product ID]],2,4)</f>
        <v>009</v>
      </c>
    </row>
    <row r="11" spans="1:10" ht="24" customHeight="1" x14ac:dyDescent="0.25">
      <c r="A11" s="3" t="s">
        <v>36</v>
      </c>
      <c r="B11" s="1" t="s">
        <v>37</v>
      </c>
      <c r="C11" s="1" t="s">
        <v>38</v>
      </c>
      <c r="D11" s="2">
        <v>60</v>
      </c>
      <c r="E11" s="1" t="s">
        <v>39</v>
      </c>
      <c r="F11" s="4">
        <v>399</v>
      </c>
      <c r="G11" s="1" t="str">
        <f>IF(product_Db[Price]&gt;500,"High Price","Standard Price")</f>
        <v>Standard Price</v>
      </c>
      <c r="H11" s="1" t="str">
        <f>LEFT(product_Db[[#This Row],[Product ID]],2)</f>
        <v>P0</v>
      </c>
      <c r="I11" s="1" t="str">
        <f>RIGHT(product_Db[[#This Row],[Product ID]],2)</f>
        <v>10</v>
      </c>
      <c r="J11" s="1" t="str">
        <f>MID(product_Db[[#This Row],[Product ID]],2,4)</f>
        <v>010</v>
      </c>
    </row>
    <row r="12" spans="1:10" ht="24" customHeight="1" x14ac:dyDescent="0.25">
      <c r="A12" s="3" t="s">
        <v>40</v>
      </c>
      <c r="B12" s="1" t="s">
        <v>41</v>
      </c>
      <c r="C12" s="1" t="s">
        <v>42</v>
      </c>
      <c r="D12" s="2">
        <v>12</v>
      </c>
      <c r="E12" s="1" t="s">
        <v>43</v>
      </c>
      <c r="F12" s="4">
        <v>3899</v>
      </c>
      <c r="G12" s="1" t="str">
        <f>IF(product_Db[Price]&gt;500,"High Price","Standard Price")</f>
        <v>High Price</v>
      </c>
      <c r="H12" s="1" t="str">
        <f>LEFT(product_Db[[#This Row],[Product ID]],2)</f>
        <v>P0</v>
      </c>
      <c r="I12" s="1" t="str">
        <f>RIGHT(product_Db[[#This Row],[Product ID]],2)</f>
        <v>11</v>
      </c>
      <c r="J12" s="1" t="str">
        <f>MID(product_Db[[#This Row],[Product ID]],2,4)</f>
        <v>011</v>
      </c>
    </row>
    <row r="13" spans="1:10" ht="24" customHeight="1" x14ac:dyDescent="0.25">
      <c r="A13" s="3" t="s">
        <v>44</v>
      </c>
      <c r="B13" s="1" t="s">
        <v>45</v>
      </c>
      <c r="C13" s="1" t="s">
        <v>46</v>
      </c>
      <c r="D13" s="2">
        <v>20</v>
      </c>
      <c r="E13" s="1" t="s">
        <v>43</v>
      </c>
      <c r="F13" s="4">
        <v>1799</v>
      </c>
      <c r="G13" s="1" t="str">
        <f>IF(product_Db[Price]&gt;500,"High Price","Standard Price")</f>
        <v>High Price</v>
      </c>
      <c r="H13" s="1" t="str">
        <f>LEFT(product_Db[[#This Row],[Product ID]],2)</f>
        <v>P0</v>
      </c>
      <c r="I13" s="1" t="str">
        <f>RIGHT(product_Db[[#This Row],[Product ID]],2)</f>
        <v>12</v>
      </c>
      <c r="J13" s="1" t="str">
        <f>MID(product_Db[[#This Row],[Product ID]],2,4)</f>
        <v>012</v>
      </c>
    </row>
    <row r="14" spans="1:10" ht="24" customHeight="1" x14ac:dyDescent="0.25">
      <c r="A14" s="3" t="s">
        <v>47</v>
      </c>
      <c r="B14" s="1" t="s">
        <v>48</v>
      </c>
      <c r="C14" s="1" t="s">
        <v>49</v>
      </c>
      <c r="D14" s="2">
        <v>100</v>
      </c>
      <c r="E14" s="1" t="s">
        <v>50</v>
      </c>
      <c r="F14" s="4">
        <v>85</v>
      </c>
      <c r="G14" s="1" t="str">
        <f>IF(product_Db[Price]&gt;500,"High Price","Standard Price")</f>
        <v>Standard Price</v>
      </c>
      <c r="H14" s="1" t="str">
        <f>LEFT(product_Db[[#This Row],[Product ID]],2)</f>
        <v>P0</v>
      </c>
      <c r="I14" s="1" t="str">
        <f>RIGHT(product_Db[[#This Row],[Product ID]],2)</f>
        <v>13</v>
      </c>
      <c r="J14" s="1" t="str">
        <f>MID(product_Db[[#This Row],[Product ID]],2,4)</f>
        <v>013</v>
      </c>
    </row>
    <row r="15" spans="1:10" ht="24" customHeight="1" x14ac:dyDescent="0.25">
      <c r="A15" s="3" t="s">
        <v>51</v>
      </c>
      <c r="B15" s="1" t="s">
        <v>52</v>
      </c>
      <c r="C15" s="1" t="s">
        <v>53</v>
      </c>
      <c r="D15" s="2">
        <v>80</v>
      </c>
      <c r="E15" s="1" t="s">
        <v>50</v>
      </c>
      <c r="F15" s="4">
        <v>120</v>
      </c>
      <c r="G15" s="1" t="str">
        <f>IF(product_Db[Price]&gt;500,"High Price","Standard Price")</f>
        <v>Standard Price</v>
      </c>
      <c r="H15" s="1" t="str">
        <f>LEFT(product_Db[[#This Row],[Product ID]],2)</f>
        <v>P0</v>
      </c>
      <c r="I15" s="1" t="str">
        <f>RIGHT(product_Db[[#This Row],[Product ID]],2)</f>
        <v>14</v>
      </c>
      <c r="J15" s="1" t="str">
        <f>MID(product_Db[[#This Row],[Product ID]],2,4)</f>
        <v>014</v>
      </c>
    </row>
    <row r="16" spans="1:10" ht="24" customHeight="1" x14ac:dyDescent="0.25">
      <c r="A16" s="3" t="s">
        <v>54</v>
      </c>
      <c r="B16" s="1" t="s">
        <v>55</v>
      </c>
      <c r="C16" s="1" t="s">
        <v>56</v>
      </c>
      <c r="D16" s="2">
        <v>8</v>
      </c>
      <c r="E16" s="1" t="s">
        <v>57</v>
      </c>
      <c r="F16" s="4">
        <v>7499</v>
      </c>
      <c r="G16" s="1" t="str">
        <f>IF(product_Db[Price]&gt;500,"High Price","Standard Price")</f>
        <v>High Price</v>
      </c>
      <c r="H16" s="1" t="str">
        <f>LEFT(product_Db[[#This Row],[Product ID]],2)</f>
        <v>P0</v>
      </c>
      <c r="I16" s="1" t="str">
        <f>RIGHT(product_Db[[#This Row],[Product ID]],2)</f>
        <v>15</v>
      </c>
      <c r="J16" s="1" t="str">
        <f>MID(product_Db[[#This Row],[Product ID]],2,4)</f>
        <v>015</v>
      </c>
    </row>
    <row r="17" spans="1:10" ht="24" customHeight="1" x14ac:dyDescent="0.25">
      <c r="A17" s="3" t="s">
        <v>58</v>
      </c>
      <c r="B17" s="1" t="s">
        <v>59</v>
      </c>
      <c r="C17" s="1" t="s">
        <v>60</v>
      </c>
      <c r="D17" s="2">
        <v>6</v>
      </c>
      <c r="E17" s="1" t="s">
        <v>57</v>
      </c>
      <c r="F17" s="4">
        <v>5999</v>
      </c>
      <c r="G17" s="1" t="str">
        <f>IF(product_Db[Price]&gt;500,"High Price","Standard Price")</f>
        <v>High Price</v>
      </c>
      <c r="H17" s="1" t="str">
        <f>LEFT(product_Db[[#This Row],[Product ID]],2)</f>
        <v>P0</v>
      </c>
      <c r="I17" s="1" t="str">
        <f>RIGHT(product_Db[[#This Row],[Product ID]],2)</f>
        <v>16</v>
      </c>
      <c r="J17" s="1" t="str">
        <f>MID(product_Db[[#This Row],[Product ID]],2,4)</f>
        <v>016</v>
      </c>
    </row>
    <row r="18" spans="1:10" ht="24" customHeight="1" x14ac:dyDescent="0.25">
      <c r="A18" s="3" t="s">
        <v>61</v>
      </c>
      <c r="B18" s="1" t="s">
        <v>62</v>
      </c>
      <c r="C18" s="1" t="s">
        <v>63</v>
      </c>
      <c r="D18" s="2">
        <v>14</v>
      </c>
      <c r="E18" s="1" t="s">
        <v>9</v>
      </c>
      <c r="F18" s="4">
        <v>15999</v>
      </c>
      <c r="G18" s="1" t="str">
        <f>IF(product_Db[Price]&gt;500,"High Price","Standard Price")</f>
        <v>High Price</v>
      </c>
      <c r="H18" s="1" t="str">
        <f>LEFT(product_Db[[#This Row],[Product ID]],2)</f>
        <v>P0</v>
      </c>
      <c r="I18" s="1" t="str">
        <f>RIGHT(product_Db[[#This Row],[Product ID]],2)</f>
        <v>17</v>
      </c>
      <c r="J18" s="1" t="str">
        <f>MID(product_Db[[#This Row],[Product ID]],2,4)</f>
        <v>017</v>
      </c>
    </row>
    <row r="19" spans="1:10" ht="24" customHeight="1" x14ac:dyDescent="0.25">
      <c r="A19" s="3" t="s">
        <v>64</v>
      </c>
      <c r="B19" s="1" t="s">
        <v>65</v>
      </c>
      <c r="C19" s="1" t="s">
        <v>66</v>
      </c>
      <c r="D19" s="2">
        <v>26</v>
      </c>
      <c r="E19" s="1" t="s">
        <v>9</v>
      </c>
      <c r="F19" s="4">
        <v>2999</v>
      </c>
      <c r="G19" s="1" t="str">
        <f>IF(product_Db[Price]&gt;500,"High Price","Standard Price")</f>
        <v>High Price</v>
      </c>
      <c r="H19" s="1" t="str">
        <f>LEFT(product_Db[[#This Row],[Product ID]],2)</f>
        <v>P0</v>
      </c>
      <c r="I19" s="1" t="str">
        <f>RIGHT(product_Db[[#This Row],[Product ID]],2)</f>
        <v>18</v>
      </c>
      <c r="J19" s="1" t="str">
        <f>MID(product_Db[[#This Row],[Product ID]],2,4)</f>
        <v>018</v>
      </c>
    </row>
    <row r="20" spans="1:10" ht="24" customHeight="1" x14ac:dyDescent="0.25">
      <c r="A20" s="3" t="s">
        <v>67</v>
      </c>
      <c r="B20" s="1" t="s">
        <v>68</v>
      </c>
      <c r="C20" s="1" t="s">
        <v>46</v>
      </c>
      <c r="D20" s="2">
        <v>9</v>
      </c>
      <c r="E20" s="1" t="s">
        <v>43</v>
      </c>
      <c r="F20" s="4">
        <v>6499</v>
      </c>
      <c r="G20" s="1" t="str">
        <f>IF(product_Db[Price]&gt;500,"High Price","Standard Price")</f>
        <v>High Price</v>
      </c>
      <c r="H20" s="1" t="str">
        <f>LEFT(product_Db[[#This Row],[Product ID]],2)</f>
        <v>P0</v>
      </c>
      <c r="I20" s="1" t="str">
        <f>RIGHT(product_Db[[#This Row],[Product ID]],2)</f>
        <v>19</v>
      </c>
      <c r="J20" s="1" t="str">
        <f>MID(product_Db[[#This Row],[Product ID]],2,4)</f>
        <v>019</v>
      </c>
    </row>
    <row r="21" spans="1:10" ht="24" customHeight="1" x14ac:dyDescent="0.25">
      <c r="A21" s="9" t="s">
        <v>69</v>
      </c>
      <c r="B21" s="10" t="s">
        <v>70</v>
      </c>
      <c r="C21" s="10" t="s">
        <v>71</v>
      </c>
      <c r="D21" s="11">
        <v>45</v>
      </c>
      <c r="E21" s="10" t="s">
        <v>72</v>
      </c>
      <c r="F21" s="12">
        <v>299</v>
      </c>
      <c r="G21" s="10" t="str">
        <f>IF(product_Db[Price]&gt;500,"High Price","Standard Price")</f>
        <v>Standard Price</v>
      </c>
      <c r="H21" s="1" t="str">
        <f>LEFT(product_Db[[#This Row],[Product ID]],2)</f>
        <v>P0</v>
      </c>
      <c r="I21" s="1" t="str">
        <f>RIGHT(product_Db[[#This Row],[Product ID]],2)</f>
        <v>20</v>
      </c>
      <c r="J21" s="1" t="str">
        <f>MID(product_Db[[#This Row],[Product ID]],2,4)</f>
        <v>020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topLeftCell="A2" workbookViewId="0">
      <selection activeCell="S4" sqref="S4"/>
    </sheetView>
  </sheetViews>
  <sheetFormatPr defaultRowHeight="15" x14ac:dyDescent="0.25"/>
  <cols>
    <col min="1" max="1" width="15.28515625" customWidth="1"/>
    <col min="15" max="15" width="17.7109375" customWidth="1"/>
    <col min="18" max="18" width="18.28515625" customWidth="1"/>
  </cols>
  <sheetData>
    <row r="1" spans="1:19" ht="26.25" x14ac:dyDescent="0.4">
      <c r="A1" s="13" t="s">
        <v>73</v>
      </c>
    </row>
    <row r="2" spans="1:19" ht="26.25" x14ac:dyDescent="0.4">
      <c r="A2" s="13"/>
    </row>
    <row r="3" spans="1:19" ht="21" x14ac:dyDescent="0.35">
      <c r="A3" s="14" t="s">
        <v>74</v>
      </c>
    </row>
    <row r="4" spans="1:19" ht="18.75" x14ac:dyDescent="0.3">
      <c r="A4" s="18" t="s">
        <v>80</v>
      </c>
      <c r="G4" s="18" t="s">
        <v>81</v>
      </c>
      <c r="O4" s="18" t="s">
        <v>85</v>
      </c>
    </row>
    <row r="5" spans="1:19" ht="23.25" customHeight="1" x14ac:dyDescent="0.25">
      <c r="B5" t="s">
        <v>75</v>
      </c>
      <c r="O5" s="15" t="s">
        <v>79</v>
      </c>
      <c r="P5" s="17">
        <f>SUMIF(product_Db[Category],O5,product_Db[Price])</f>
        <v>1799</v>
      </c>
      <c r="R5" s="15" t="s">
        <v>79</v>
      </c>
      <c r="S5" s="17">
        <f>COUNTIF(product_Db[Category],R5)</f>
        <v>1</v>
      </c>
    </row>
    <row r="6" spans="1:19" ht="21" customHeight="1" x14ac:dyDescent="0.25">
      <c r="A6" t="s">
        <v>78</v>
      </c>
      <c r="H6" t="s">
        <v>82</v>
      </c>
      <c r="O6" s="15" t="s">
        <v>29</v>
      </c>
      <c r="P6" s="17">
        <f>SUMIF(product_Db[Category],O6,product_Db[Price])</f>
        <v>3198</v>
      </c>
      <c r="R6" s="15" t="s">
        <v>29</v>
      </c>
      <c r="S6" s="17">
        <f>COUNTIF(product_Db[Category],R6)</f>
        <v>2</v>
      </c>
    </row>
    <row r="7" spans="1:19" ht="30" x14ac:dyDescent="0.25">
      <c r="B7">
        <f>SUM(product_Db[Price])</f>
        <v>73687</v>
      </c>
      <c r="I7">
        <f>MIN(product_Db[Price])</f>
        <v>85</v>
      </c>
      <c r="O7" s="15" t="s">
        <v>9</v>
      </c>
      <c r="P7" s="17">
        <f>SUMIF(product_Db[Category],O7,product_Db[Price])</f>
        <v>37493</v>
      </c>
      <c r="R7" s="15" t="s">
        <v>9</v>
      </c>
      <c r="S7" s="17">
        <f>COUNTIF(product_Db[Category],R7)</f>
        <v>7</v>
      </c>
    </row>
    <row r="8" spans="1:19" ht="30" x14ac:dyDescent="0.25">
      <c r="O8" s="16" t="s">
        <v>25</v>
      </c>
      <c r="P8" s="17">
        <f>SUMIF(product_Db[Category],O8,product_Db[Price])</f>
        <v>4599</v>
      </c>
      <c r="R8" s="16" t="s">
        <v>25</v>
      </c>
      <c r="S8" s="17">
        <f>COUNTIF(product_Db[Category],R8)</f>
        <v>1</v>
      </c>
    </row>
    <row r="9" spans="1:19" ht="30" x14ac:dyDescent="0.25">
      <c r="A9" t="s">
        <v>77</v>
      </c>
      <c r="H9" t="s">
        <v>83</v>
      </c>
      <c r="O9" s="15" t="s">
        <v>57</v>
      </c>
      <c r="P9" s="17">
        <f>SUMIF(product_Db[Category],O9,product_Db[Price])</f>
        <v>13498</v>
      </c>
      <c r="R9" s="15" t="s">
        <v>57</v>
      </c>
      <c r="S9" s="17">
        <f>COUNTIF(product_Db[Category],R9)</f>
        <v>2</v>
      </c>
    </row>
    <row r="10" spans="1:19" ht="30" x14ac:dyDescent="0.25">
      <c r="B10">
        <f>COUNT(product_Db[Quantity])</f>
        <v>20</v>
      </c>
      <c r="I10">
        <f>MAX(product_Db[Price])</f>
        <v>15999</v>
      </c>
      <c r="O10" s="16" t="s">
        <v>39</v>
      </c>
      <c r="P10" s="17">
        <f>SUMIF(product_Db[Category],O10,product_Db[Price])</f>
        <v>399</v>
      </c>
      <c r="R10" s="16" t="s">
        <v>39</v>
      </c>
      <c r="S10" s="17">
        <f>COUNTIF(product_Db[Category],R10)</f>
        <v>1</v>
      </c>
    </row>
    <row r="11" spans="1:19" ht="45" x14ac:dyDescent="0.25">
      <c r="O11" s="15" t="s">
        <v>43</v>
      </c>
      <c r="P11" s="17">
        <f>SUMIF(product_Db[Category],O11,product_Db[Price])</f>
        <v>12197</v>
      </c>
      <c r="R11" s="15" t="s">
        <v>43</v>
      </c>
      <c r="S11" s="17">
        <f>COUNTIF(product_Db[Category],R11)</f>
        <v>3</v>
      </c>
    </row>
    <row r="12" spans="1:19" x14ac:dyDescent="0.25">
      <c r="A12" t="s">
        <v>76</v>
      </c>
      <c r="O12" s="16" t="s">
        <v>72</v>
      </c>
      <c r="P12" s="17">
        <f>SUMIF(product_Db[Category],O12,product_Db[Price])</f>
        <v>299</v>
      </c>
      <c r="R12" s="16" t="s">
        <v>72</v>
      </c>
      <c r="S12" s="17">
        <f>COUNTIF(product_Db[Category],R12)</f>
        <v>1</v>
      </c>
    </row>
    <row r="13" spans="1:19" x14ac:dyDescent="0.25">
      <c r="A13" s="15" t="s">
        <v>79</v>
      </c>
      <c r="B13" s="17">
        <f>AVERAGEIF(product_Db[Category],A13,product_Db[Price])</f>
        <v>1799</v>
      </c>
    </row>
    <row r="14" spans="1:19" x14ac:dyDescent="0.25">
      <c r="A14" s="15" t="s">
        <v>29</v>
      </c>
      <c r="B14" s="17">
        <f>AVERAGEIF(product_Db[Category],A14,product_Db[Price])</f>
        <v>1599</v>
      </c>
    </row>
    <row r="15" spans="1:19" x14ac:dyDescent="0.25">
      <c r="A15" s="15" t="s">
        <v>9</v>
      </c>
      <c r="B15" s="17">
        <f>AVERAGEIF(product_Db[Category],A15,product_Db[Price])</f>
        <v>5356.1428571428569</v>
      </c>
    </row>
    <row r="16" spans="1:19" x14ac:dyDescent="0.25">
      <c r="A16" s="16" t="s">
        <v>25</v>
      </c>
      <c r="B16" s="17">
        <f>AVERAGEIF(product_Db[Category],A16,product_Db[Price])</f>
        <v>4599</v>
      </c>
    </row>
    <row r="17" spans="1:2" x14ac:dyDescent="0.25">
      <c r="A17" s="15" t="s">
        <v>57</v>
      </c>
      <c r="B17" s="17">
        <f>AVERAGEIF(product_Db[Category],A17,product_Db[Price])</f>
        <v>6749</v>
      </c>
    </row>
    <row r="18" spans="1:2" ht="24.75" customHeight="1" x14ac:dyDescent="0.25">
      <c r="A18" s="16" t="s">
        <v>39</v>
      </c>
      <c r="B18" s="17">
        <f>AVERAGEIF(product_Db[Category],A18,product_Db[Price])</f>
        <v>399</v>
      </c>
    </row>
    <row r="19" spans="1:2" ht="35.25" customHeight="1" x14ac:dyDescent="0.25">
      <c r="A19" s="15" t="s">
        <v>43</v>
      </c>
      <c r="B19" s="17">
        <f>AVERAGEIF(product_Db[Category],A19,product_Db[Price])</f>
        <v>4065.6666666666665</v>
      </c>
    </row>
    <row r="20" spans="1:2" x14ac:dyDescent="0.25">
      <c r="A20" s="16" t="s">
        <v>72</v>
      </c>
      <c r="B20" s="17">
        <f>AVERAGEIF(product_Db[Category],A20,product_Db[Price])</f>
        <v>299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PRODUCT-DB</vt:lpstr>
      <vt:lpstr>Excel Formulas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cp:lastPrinted>2026-07-01T09:20:53Z</cp:lastPrinted>
  <dcterms:created xsi:type="dcterms:W3CDTF">2026-06-30T10:03:11Z</dcterms:created>
  <dcterms:modified xsi:type="dcterms:W3CDTF">2026-07-01T09:24:27Z</dcterms:modified>
</cp:coreProperties>
</file>